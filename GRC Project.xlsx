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as\Desktop\GRC Project\"/>
    </mc:Choice>
  </mc:AlternateContent>
  <xr:revisionPtr revIDLastSave="0" documentId="8_{A6FAB0FF-2086-4F67-9E17-560F6FDA8DFD}" xr6:coauthVersionLast="47" xr6:coauthVersionMax="47" xr10:uidLastSave="{00000000-0000-0000-0000-000000000000}"/>
  <bookViews>
    <workbookView xWindow="-108" yWindow="-108" windowWidth="23256" windowHeight="12456" activeTab="1" xr2:uid="{E07BE62A-3897-45AE-9196-8D72F1E19761}"/>
  </bookViews>
  <sheets>
    <sheet name="Asset Register" sheetId="1" r:id="rId1"/>
    <sheet name="Risk Regi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7" i="2"/>
  <c r="H4" i="2"/>
  <c r="H3" i="2"/>
  <c r="H2" i="2"/>
  <c r="G4" i="2"/>
  <c r="G3" i="2"/>
  <c r="G2" i="2"/>
</calcChain>
</file>

<file path=xl/sharedStrings.xml><?xml version="1.0" encoding="utf-8"?>
<sst xmlns="http://schemas.openxmlformats.org/spreadsheetml/2006/main" count="115" uniqueCount="88">
  <si>
    <t xml:space="preserve">Asset ID </t>
  </si>
  <si>
    <t>Asset Name</t>
  </si>
  <si>
    <t>Asset Type</t>
  </si>
  <si>
    <t>Owner</t>
  </si>
  <si>
    <t>Criticality</t>
  </si>
  <si>
    <t>A1</t>
  </si>
  <si>
    <t>A2</t>
  </si>
  <si>
    <t>A3</t>
  </si>
  <si>
    <t>A4</t>
  </si>
  <si>
    <t>A5</t>
  </si>
  <si>
    <t>A6</t>
  </si>
  <si>
    <t>A7</t>
  </si>
  <si>
    <t xml:space="preserve">Web Application </t>
  </si>
  <si>
    <t>Customer Database</t>
  </si>
  <si>
    <t>AWS Cloud Server</t>
  </si>
  <si>
    <t>Empoyee Laptops</t>
  </si>
  <si>
    <t xml:space="preserve">Admin Accounts </t>
  </si>
  <si>
    <t>Payment API</t>
  </si>
  <si>
    <t>Email Systems</t>
  </si>
  <si>
    <t>Software</t>
  </si>
  <si>
    <t>Data</t>
  </si>
  <si>
    <t>Infrastructure</t>
  </si>
  <si>
    <t>Hardware</t>
  </si>
  <si>
    <t>Access</t>
  </si>
  <si>
    <t>Dev Team</t>
  </si>
  <si>
    <t>DBA</t>
  </si>
  <si>
    <t>IT Team</t>
  </si>
  <si>
    <t>Employees</t>
  </si>
  <si>
    <t>IT Admin</t>
  </si>
  <si>
    <t>All Staff</t>
  </si>
  <si>
    <t>High</t>
  </si>
  <si>
    <t>Medium</t>
  </si>
  <si>
    <t>Risk ID</t>
  </si>
  <si>
    <t>Asset</t>
  </si>
  <si>
    <t xml:space="preserve">Threat </t>
  </si>
  <si>
    <t>Vulnerability</t>
  </si>
  <si>
    <t>Likehood(1-5)</t>
  </si>
  <si>
    <t>Impact(1-5)</t>
  </si>
  <si>
    <t>Risk Score</t>
  </si>
  <si>
    <t xml:space="preserve">Risk Level </t>
  </si>
  <si>
    <t xml:space="preserve">Mitigations </t>
  </si>
  <si>
    <t>Residual Risk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</si>
  <si>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</si>
  <si>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</si>
  <si>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</si>
  <si>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</si>
  <si>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</si>
  <si>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</si>
  <si>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</si>
  <si>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</si>
  <si>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</si>
  <si>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</si>
  <si>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 xml:space="preserve">Email System </t>
  </si>
  <si>
    <t>Admin Accounts</t>
  </si>
  <si>
    <t>Cutomer Database</t>
  </si>
  <si>
    <t>Web Application</t>
  </si>
  <si>
    <t>Employee Laptops</t>
  </si>
  <si>
    <t>Phishing attack</t>
  </si>
  <si>
    <t>Credential Theft</t>
  </si>
  <si>
    <t>Data Breach</t>
  </si>
  <si>
    <t>Unauthorized Access</t>
  </si>
  <si>
    <t>SQL Injection</t>
  </si>
  <si>
    <t>Malware</t>
  </si>
  <si>
    <t>Data Exposure</t>
  </si>
  <si>
    <t>Ransomware</t>
  </si>
  <si>
    <t>Insider Threat</t>
  </si>
  <si>
    <t>Downtime</t>
  </si>
  <si>
    <t>No redundancy</t>
  </si>
  <si>
    <t>Excess privileges</t>
  </si>
  <si>
    <t>No backups</t>
  </si>
  <si>
    <t>No authentication</t>
  </si>
  <si>
    <t>No antivirus</t>
  </si>
  <si>
    <t>No encryption</t>
  </si>
  <si>
    <t>Misconfigured S3</t>
  </si>
  <si>
    <t>Weak passwords</t>
  </si>
  <si>
    <t>Lack of awarness</t>
  </si>
  <si>
    <t>Security awareness training</t>
  </si>
  <si>
    <t>Enforce MFA &amp; strong password policy</t>
  </si>
  <si>
    <t>Configure S3 securely + encryption</t>
  </si>
  <si>
    <t>Enable database encryption</t>
  </si>
  <si>
    <t>Input validation + WAF</t>
  </si>
  <si>
    <t>Install antivirus software</t>
  </si>
  <si>
    <t>Implement API authentication</t>
  </si>
  <si>
    <t>Regular backups</t>
  </si>
  <si>
    <t>Apply least privilege access</t>
  </si>
  <si>
    <t>Implement redundancy</t>
  </si>
  <si>
    <t>Security Team</t>
  </si>
  <si>
    <t>Poor inpact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</si>
</sst>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AFA1-5FDD-47FA-A22B-D3ABC31B858C}">
  <dimension ref="A1:E8"/>
  <sheetViews>
    <sheetView zoomScale="116" workbookViewId="0">
      <selection activeCell="G7" sqref="G7"/>
    </sheetView>
  </sheetViews>
  <sheetFormatPr defaultRowHeight="14.4" x14ac:dyDescent="0.3"/>
  <cols>
    <col min="1" max="1" width="8.21875" bestFit="1" customWidth="1"/>
    <col min="2" max="2" width="17" bestFit="1" customWidth="1"/>
    <col min="3" max="3" width="12" bestFit="1" customWidth="1"/>
    <col min="4" max="4" width="9.6640625" bestFit="1" customWidth="1"/>
    <col min="5" max="5" width="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12</v>
      </c>
      <c r="C2" s="2" t="s">
        <v>19</v>
      </c>
      <c r="D2" s="2" t="s">
        <v>24</v>
      </c>
      <c r="E2" s="2" t="s">
        <v>30</v>
      </c>
    </row>
    <row r="3" spans="1:5" x14ac:dyDescent="0.3">
      <c r="A3" s="2" t="s">
        <v>6</v>
      </c>
      <c r="B3" s="2" t="s">
        <v>13</v>
      </c>
      <c r="C3" s="2" t="s">
        <v>20</v>
      </c>
      <c r="D3" s="2" t="s">
        <v>25</v>
      </c>
      <c r="E3" s="2" t="s">
        <v>30</v>
      </c>
    </row>
    <row r="4" spans="1:5" x14ac:dyDescent="0.3">
      <c r="A4" s="2" t="s">
        <v>7</v>
      </c>
      <c r="B4" s="2" t="s">
        <v>14</v>
      </c>
      <c r="C4" s="2" t="s">
        <v>21</v>
      </c>
      <c r="D4" s="2" t="s">
        <v>26</v>
      </c>
      <c r="E4" s="2" t="s">
        <v>30</v>
      </c>
    </row>
    <row r="5" spans="1:5" x14ac:dyDescent="0.3">
      <c r="A5" s="2" t="s">
        <v>8</v>
      </c>
      <c r="B5" s="2" t="s">
        <v>15</v>
      </c>
      <c r="C5" s="2" t="s">
        <v>22</v>
      </c>
      <c r="D5" s="2" t="s">
        <v>27</v>
      </c>
      <c r="E5" s="2" t="s">
        <v>31</v>
      </c>
    </row>
    <row r="6" spans="1:5" x14ac:dyDescent="0.3">
      <c r="A6" s="2" t="s">
        <v>9</v>
      </c>
      <c r="B6" s="2" t="s">
        <v>16</v>
      </c>
      <c r="C6" s="2" t="s">
        <v>23</v>
      </c>
      <c r="D6" s="2" t="s">
        <v>28</v>
      </c>
      <c r="E6" s="2" t="s">
        <v>30</v>
      </c>
    </row>
    <row r="7" spans="1:5" x14ac:dyDescent="0.3">
      <c r="A7" s="2" t="s">
        <v>10</v>
      </c>
      <c r="B7" s="2" t="s">
        <v>17</v>
      </c>
      <c r="C7" s="2" t="s">
        <v>19</v>
      </c>
      <c r="D7" s="2" t="s">
        <v>24</v>
      </c>
      <c r="E7" s="2" t="s">
        <v>30</v>
      </c>
    </row>
    <row r="8" spans="1:5" x14ac:dyDescent="0.3">
      <c r="A8" s="2" t="s">
        <v>11</v>
      </c>
      <c r="B8" s="2" t="s">
        <v>18</v>
      </c>
      <c r="C8" s="2" t="s">
        <v>19</v>
      </c>
      <c r="D8" s="2" t="s">
        <v>29</v>
      </c>
      <c r="E8" s="2" t="s">
        <v>31</v>
      </c>
    </row>
  </sheetData>
  <dataValidations count="1">
    <dataValidation type="list" allowBlank="1" showInputMessage="1" showErrorMessage="1" sqref="E1:E1048576" xr:uid="{13EA8557-9F30-4933-905A-AB3A4EA5109C}">
      <formula1>"High,Medium,Low"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5784-1801-4B96-A616-8ED3600E3E32}">
  <dimension ref="A1:K11"/>
  <sheetViews>
    <sheetView tabSelected="1" zoomScale="107" workbookViewId="0">
      <selection activeCell="G2" sqref="G2"/>
    </sheetView>
  </sheetViews>
  <sheetFormatPr defaultRowHeight="14.4" x14ac:dyDescent="0.3"/>
  <cols>
    <col min="1" max="1" width="4.109375" bestFit="1" customWidth="1"/>
    <col min="2" max="2" width="16.5546875" bestFit="1" customWidth="1"/>
    <col min="3" max="3" width="18.109375" bestFit="1" customWidth="1"/>
    <col min="4" max="4" width="19.21875" bestFit="1" customWidth="1"/>
    <col min="5" max="5" width="15.88671875" bestFit="1" customWidth="1"/>
    <col min="6" max="6" width="13.44140625" bestFit="1" customWidth="1"/>
    <col min="7" max="8" width="12.109375" bestFit="1" customWidth="1"/>
    <col min="9" max="9" width="32.5546875" bestFit="1" customWidth="1"/>
    <col min="10" max="10" width="12.44140625" bestFit="1" customWidth="1"/>
    <col min="11" max="11" width="15.33203125" bestFit="1" customWidth="1"/>
  </cols>
  <sheetData>
    <row r="1" spans="1:11" ht="18" x14ac:dyDescent="0.3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5" t="s">
        <v>38</v>
      </c>
      <c r="H1" s="3" t="s">
        <v>39</v>
      </c>
      <c r="I1" s="3" t="s">
        <v>40</v>
      </c>
      <c r="J1" s="3" t="s">
        <v>3</v>
      </c>
      <c r="K1" s="3" t="s">
        <v>41</v>
      </c>
    </row>
    <row r="2" spans="1:11" x14ac:dyDescent="0.3">
      <c r="A2" t="s">
        <v>42</v>
      </c>
      <c r="B2" t="s">
        <v>52</v>
      </c>
      <c r="C2" t="s">
        <v>57</v>
      </c>
      <c r="D2" t="s">
        <v>75</v>
      </c>
      <c r="E2" s="4">
        <v>4</v>
      </c>
      <c r="F2" s="4">
        <v>4</v>
      </c>
      <c r="G2" s="4">
        <f>E2*F2</f>
        <v>16</v>
      </c>
      <c r="H2" t="str">
        <f>IF(G2&lt;=5,"Low",IF(G2&lt;=12,"Medium","High"))</f>
        <v>High</v>
      </c>
      <c r="I2" t="s">
        <v>76</v>
      </c>
      <c r="J2" t="s">
        <v>86</v>
      </c>
      <c r="K2" s="4">
        <v>15</v>
      </c>
    </row>
    <row r="3" spans="1:11" x14ac:dyDescent="0.3">
      <c r="A3" t="s">
        <v>43</v>
      </c>
      <c r="B3" t="s">
        <v>53</v>
      </c>
      <c r="C3" t="s">
        <v>58</v>
      </c>
      <c r="D3" t="s">
        <v>74</v>
      </c>
      <c r="E3" s="4">
        <v>4</v>
      </c>
      <c r="F3" s="4">
        <v>5</v>
      </c>
      <c r="G3" s="4">
        <f>E3*F3</f>
        <v>20</v>
      </c>
      <c r="H3" t="str">
        <f>IF(G3&lt;=5,"Low",IF(G3&lt;=12,"Medium","High"))</f>
        <v>High</v>
      </c>
      <c r="I3" t="s">
        <v>77</v>
      </c>
      <c r="J3" t="s">
        <v>26</v>
      </c>
      <c r="K3" s="4">
        <v>20</v>
      </c>
    </row>
    <row r="4" spans="1:11" x14ac:dyDescent="0.3">
      <c r="A4" t="s">
        <v>44</v>
      </c>
      <c r="B4" t="s">
        <v>14</v>
      </c>
      <c r="C4" t="s">
        <v>59</v>
      </c>
      <c r="D4" t="s">
        <v>73</v>
      </c>
      <c r="E4" s="4">
        <v>3</v>
      </c>
      <c r="F4" s="4">
        <v>5</v>
      </c>
      <c r="G4" s="4">
        <f>E4*F4</f>
        <v>15</v>
      </c>
      <c r="H4" t="str">
        <f>IF(G4&lt;=5,"Low",IF(G4&lt;=12,"Medium","High"))</f>
        <v>High</v>
      </c>
      <c r="I4" t="s">
        <v>78</v>
      </c>
      <c r="J4" t="s">
        <v>24</v>
      </c>
      <c r="K4" s="4">
        <v>20</v>
      </c>
    </row>
    <row r="5" spans="1:11" x14ac:dyDescent="0.3">
      <c r="A5" t="s">
        <v>45</v>
      </c>
      <c r="B5" t="s">
        <v>54</v>
      </c>
      <c r="C5" t="s">
        <v>60</v>
      </c>
      <c r="D5" t="s">
        <v>72</v>
      </c>
      <c r="E5" s="4">
        <v>3</v>
      </c>
      <c r="F5" s="4">
        <v>5</v>
      </c>
      <c r="G5" s="4">
        <v>15</v>
      </c>
      <c r="H5" t="str">
        <f>IF(G5&lt;=5,"Low",IF(G5&lt;=12,"Medium","High"))</f>
        <v>High</v>
      </c>
      <c r="I5" t="s">
        <v>79</v>
      </c>
      <c r="J5" t="s">
        <v>26</v>
      </c>
      <c r="K5" s="4">
        <v>15</v>
      </c>
    </row>
    <row r="6" spans="1:11" x14ac:dyDescent="0.3">
      <c r="A6" t="s">
        <v>46</v>
      </c>
      <c r="B6" t="s">
        <v>55</v>
      </c>
      <c r="C6" t="s">
        <v>61</v>
      </c>
      <c r="D6" t="s">
        <v>87</v>
      </c>
      <c r="E6" s="4">
        <v>3</v>
      </c>
      <c r="F6" s="4">
        <v>4</v>
      </c>
      <c r="G6" s="4">
        <v>12</v>
      </c>
      <c r="H6" t="str">
        <f>IF(G6&lt;=5,"Low",IF(G6&lt;=12,"Medium","High"))</f>
        <v>Medium</v>
      </c>
      <c r="I6" t="s">
        <v>80</v>
      </c>
      <c r="J6" t="s">
        <v>24</v>
      </c>
      <c r="K6" s="4">
        <v>15</v>
      </c>
    </row>
    <row r="7" spans="1:11" x14ac:dyDescent="0.3">
      <c r="A7" t="s">
        <v>47</v>
      </c>
      <c r="B7" t="s">
        <v>56</v>
      </c>
      <c r="C7" t="s">
        <v>62</v>
      </c>
      <c r="D7" t="s">
        <v>71</v>
      </c>
      <c r="E7" s="4">
        <v>3</v>
      </c>
      <c r="F7" s="4">
        <v>3</v>
      </c>
      <c r="G7" s="4">
        <v>9</v>
      </c>
      <c r="H7" t="str">
        <f>IF(G7&lt;=5,"Low",IF(G7&lt;=12,"Medium","High"))</f>
        <v>Medium</v>
      </c>
      <c r="I7" t="s">
        <v>81</v>
      </c>
      <c r="J7" t="s">
        <v>86</v>
      </c>
      <c r="K7" s="4">
        <v>15</v>
      </c>
    </row>
    <row r="8" spans="1:11" x14ac:dyDescent="0.3">
      <c r="A8" t="s">
        <v>48</v>
      </c>
      <c r="B8" t="s">
        <v>17</v>
      </c>
      <c r="C8" t="s">
        <v>63</v>
      </c>
      <c r="D8" t="s">
        <v>70</v>
      </c>
      <c r="E8" s="4">
        <v>4</v>
      </c>
      <c r="F8" s="4">
        <v>4</v>
      </c>
      <c r="G8" s="4">
        <v>16</v>
      </c>
      <c r="H8" t="s">
        <v>30</v>
      </c>
      <c r="I8" t="s">
        <v>82</v>
      </c>
      <c r="J8" t="s">
        <v>26</v>
      </c>
      <c r="K8" s="4">
        <v>20</v>
      </c>
    </row>
    <row r="9" spans="1:11" x14ac:dyDescent="0.3">
      <c r="A9" t="s">
        <v>49</v>
      </c>
      <c r="B9" t="s">
        <v>14</v>
      </c>
      <c r="C9" t="s">
        <v>64</v>
      </c>
      <c r="D9" t="s">
        <v>69</v>
      </c>
      <c r="E9" s="4">
        <v>3</v>
      </c>
      <c r="F9" s="4">
        <v>5</v>
      </c>
      <c r="G9" s="4">
        <v>15</v>
      </c>
      <c r="H9" t="s">
        <v>30</v>
      </c>
      <c r="I9" t="s">
        <v>83</v>
      </c>
      <c r="J9" t="s">
        <v>24</v>
      </c>
      <c r="K9" s="4">
        <v>15</v>
      </c>
    </row>
    <row r="10" spans="1:11" x14ac:dyDescent="0.3">
      <c r="A10" t="s">
        <v>50</v>
      </c>
      <c r="B10" t="s">
        <v>53</v>
      </c>
      <c r="C10" t="s">
        <v>65</v>
      </c>
      <c r="D10" t="s">
        <v>68</v>
      </c>
      <c r="E10" s="4">
        <v>2</v>
      </c>
      <c r="F10" s="4">
        <v>5</v>
      </c>
      <c r="G10" s="4">
        <v>10</v>
      </c>
      <c r="H10" t="s">
        <v>31</v>
      </c>
      <c r="I10" t="s">
        <v>84</v>
      </c>
      <c r="J10" t="s">
        <v>26</v>
      </c>
      <c r="K10" s="4">
        <v>20</v>
      </c>
    </row>
    <row r="11" spans="1:11" x14ac:dyDescent="0.3">
      <c r="A11" t="s">
        <v>51</v>
      </c>
      <c r="B11" t="s">
        <v>14</v>
      </c>
      <c r="C11" t="s">
        <v>66</v>
      </c>
      <c r="D11" t="s">
        <v>67</v>
      </c>
      <c r="E11" s="4">
        <v>3</v>
      </c>
      <c r="F11" s="4">
        <v>4</v>
      </c>
      <c r="G11" s="4">
        <v>12</v>
      </c>
      <c r="H11" t="s">
        <v>31</v>
      </c>
      <c r="I11" t="s">
        <v>85</v>
      </c>
      <c r="J11" t="s">
        <v>26</v>
      </c>
      <c r="K11" s="4">
        <v>15</v>
      </c>
    </row>
  </sheetData>
  <conditionalFormatting sqref="G1:G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Gunjal</dc:creator>
  <cp:lastModifiedBy>Suyash Gunjal</cp:lastModifiedBy>
  <dcterms:created xsi:type="dcterms:W3CDTF">2026-03-28T12:24:02Z</dcterms:created>
  <dcterms:modified xsi:type="dcterms:W3CDTF">2026-03-28T18:03:00Z</dcterms:modified>
</cp:coreProperties>
</file>